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royectos_análisis_datos\dashboardventas\"/>
    </mc:Choice>
  </mc:AlternateContent>
  <bookViews>
    <workbookView xWindow="0" yWindow="0" windowWidth="20490" windowHeight="7650"/>
  </bookViews>
  <sheets>
    <sheet name="Hoja2" sheetId="2" r:id="rId1"/>
    <sheet name="Hoja2 (2)" sheetId="3" r:id="rId2"/>
  </sheets>
  <definedNames>
    <definedName name="_xlnm._FilterDatabase" localSheetId="0" hidden="1">Hoja2!$A$1:$F$62</definedName>
    <definedName name="_xlnm._FilterDatabase" localSheetId="1" hidden="1">'Hoja2 (2)'!$A$1:$F$62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2" l="1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2" i="2"/>
  <c r="D49" i="3" l="1"/>
  <c r="D39" i="3"/>
  <c r="D28" i="3"/>
  <c r="D26" i="3"/>
  <c r="D20" i="3"/>
  <c r="D5" i="3"/>
  <c r="D2" i="3"/>
</calcChain>
</file>

<file path=xl/sharedStrings.xml><?xml version="1.0" encoding="utf-8"?>
<sst xmlns="http://schemas.openxmlformats.org/spreadsheetml/2006/main" count="328" uniqueCount="19">
  <si>
    <t>fecha</t>
  </si>
  <si>
    <t>cliente</t>
  </si>
  <si>
    <t>ventas</t>
  </si>
  <si>
    <t>region</t>
  </si>
  <si>
    <t>Hospitalet</t>
  </si>
  <si>
    <t>Santa Coloma</t>
  </si>
  <si>
    <t>Granollier</t>
  </si>
  <si>
    <t>Sabadell</t>
  </si>
  <si>
    <t>Badalona</t>
  </si>
  <si>
    <t>Barcelona</t>
  </si>
  <si>
    <t>pendiente</t>
  </si>
  <si>
    <t>cobrada</t>
  </si>
  <si>
    <t>Estatus</t>
  </si>
  <si>
    <t>Compras</t>
  </si>
  <si>
    <t>cobrado</t>
  </si>
  <si>
    <t>PENDIENTE DE</t>
  </si>
  <si>
    <t>COBRADO EN EFECTIVO</t>
  </si>
  <si>
    <t>compras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</si>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</sst>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43" fontId="2" fillId="0" borderId="0" xfId="1" applyFont="1"/>
    <xf numFmtId="0" fontId="2" fillId="0" borderId="0" xfId="0" applyFont="1"/>
    <xf numFmtId="43" fontId="2" fillId="0" borderId="0" xfId="0" applyNumberFormat="1" applyFont="1"/>
    <xf numFmtId="0" fontId="1" fillId="0" borderId="0" xfId="0" applyFont="1"/>
    <xf numFmtId="0" fontId="1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A50" workbookViewId="0">
      <selection activeCell="B61" sqref="B61:B100"/>
    </sheetView>
  </sheetViews>
  <sheetFormatPr baseColWidth="10" defaultRowHeight="15" x14ac:dyDescent="0.25"/>
  <cols>
    <col min="3" max="3" width="12" customWidth="1"/>
    <col min="4" max="4" width="12.140625" bestFit="1" customWidth="1"/>
    <col min="5" max="5" width="12.57031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17</v>
      </c>
      <c r="E1" t="s">
        <v>3</v>
      </c>
      <c r="F1" t="s">
        <v>18</v>
      </c>
    </row>
    <row r="2" spans="1:6" x14ac:dyDescent="0.25">
      <c r="A2">
        <v>19</v>
      </c>
      <c r="B2" s="1">
        <v>46091</v>
      </c>
      <c r="C2">
        <v>271</v>
      </c>
      <c r="D2" s="2">
        <f>C2/1.1</f>
        <v>246.36363636363635</v>
      </c>
      <c r="E2" t="s">
        <v>7</v>
      </c>
      <c r="F2" t="s">
        <v>10</v>
      </c>
    </row>
    <row r="3" spans="1:6" x14ac:dyDescent="0.25">
      <c r="A3">
        <v>29</v>
      </c>
      <c r="B3" s="1">
        <v>46153</v>
      </c>
      <c r="C3">
        <v>173</v>
      </c>
      <c r="D3" s="2">
        <f t="shared" ref="D3:D66" si="0">C3/1.1</f>
        <v>157.27272727272725</v>
      </c>
      <c r="E3" t="s">
        <v>5</v>
      </c>
      <c r="F3" t="s">
        <v>10</v>
      </c>
    </row>
    <row r="4" spans="1:6" x14ac:dyDescent="0.25">
      <c r="A4">
        <v>25</v>
      </c>
      <c r="B4" s="1">
        <v>46081</v>
      </c>
      <c r="C4">
        <v>269</v>
      </c>
      <c r="D4" s="2">
        <f t="shared" si="0"/>
        <v>244.54545454545453</v>
      </c>
      <c r="E4" t="s">
        <v>9</v>
      </c>
      <c r="F4" t="s">
        <v>11</v>
      </c>
    </row>
    <row r="5" spans="1:6" x14ac:dyDescent="0.25">
      <c r="A5">
        <v>30</v>
      </c>
      <c r="B5" s="1">
        <v>46041</v>
      </c>
      <c r="C5">
        <v>122</v>
      </c>
      <c r="D5" s="2">
        <f t="shared" si="0"/>
        <v>110.90909090909091</v>
      </c>
      <c r="E5" t="s">
        <v>9</v>
      </c>
      <c r="F5" t="s">
        <v>10</v>
      </c>
    </row>
    <row r="6" spans="1:6" x14ac:dyDescent="0.25">
      <c r="A6">
        <v>18</v>
      </c>
      <c r="B6" s="1">
        <v>46170</v>
      </c>
      <c r="C6">
        <v>339</v>
      </c>
      <c r="D6" s="2">
        <f t="shared" si="0"/>
        <v>308.18181818181813</v>
      </c>
      <c r="E6" t="s">
        <v>4</v>
      </c>
      <c r="F6" t="s">
        <v>11</v>
      </c>
    </row>
    <row r="7" spans="1:6" x14ac:dyDescent="0.25">
      <c r="A7">
        <v>22</v>
      </c>
      <c r="B7" s="1">
        <v>46199</v>
      </c>
      <c r="C7">
        <v>262</v>
      </c>
      <c r="D7" s="2">
        <f t="shared" si="0"/>
        <v>238.18181818181816</v>
      </c>
      <c r="E7" t="s">
        <v>4</v>
      </c>
      <c r="F7" t="s">
        <v>11</v>
      </c>
    </row>
    <row r="8" spans="1:6" x14ac:dyDescent="0.25">
      <c r="A8">
        <v>30</v>
      </c>
      <c r="B8" s="1">
        <v>46222</v>
      </c>
      <c r="C8">
        <v>480</v>
      </c>
      <c r="D8" s="2">
        <f t="shared" si="0"/>
        <v>436.36363636363632</v>
      </c>
      <c r="E8" t="s">
        <v>9</v>
      </c>
      <c r="F8" t="s">
        <v>11</v>
      </c>
    </row>
    <row r="9" spans="1:6" x14ac:dyDescent="0.25">
      <c r="A9">
        <v>22</v>
      </c>
      <c r="B9" s="1">
        <v>46188</v>
      </c>
      <c r="C9">
        <v>248</v>
      </c>
      <c r="D9" s="2">
        <f t="shared" si="0"/>
        <v>225.45454545454544</v>
      </c>
      <c r="E9" t="s">
        <v>5</v>
      </c>
      <c r="F9" t="s">
        <v>10</v>
      </c>
    </row>
    <row r="10" spans="1:6" x14ac:dyDescent="0.25">
      <c r="A10">
        <v>15</v>
      </c>
      <c r="B10" s="1">
        <v>46044</v>
      </c>
      <c r="C10">
        <v>487</v>
      </c>
      <c r="D10" s="2">
        <f t="shared" si="0"/>
        <v>442.72727272727269</v>
      </c>
      <c r="E10" t="s">
        <v>7</v>
      </c>
      <c r="F10" t="s">
        <v>11</v>
      </c>
    </row>
    <row r="11" spans="1:6" x14ac:dyDescent="0.25">
      <c r="A11">
        <v>25</v>
      </c>
      <c r="B11" s="1">
        <v>46195</v>
      </c>
      <c r="C11">
        <v>479</v>
      </c>
      <c r="D11" s="2">
        <f t="shared" si="0"/>
        <v>435.45454545454544</v>
      </c>
      <c r="E11" t="s">
        <v>4</v>
      </c>
      <c r="F11" t="s">
        <v>10</v>
      </c>
    </row>
    <row r="12" spans="1:6" x14ac:dyDescent="0.25">
      <c r="A12">
        <v>20</v>
      </c>
      <c r="B12" s="1">
        <v>46278</v>
      </c>
      <c r="C12">
        <v>239</v>
      </c>
      <c r="D12" s="2">
        <f t="shared" si="0"/>
        <v>217.27272727272725</v>
      </c>
      <c r="E12" t="s">
        <v>7</v>
      </c>
      <c r="F12" t="s">
        <v>10</v>
      </c>
    </row>
    <row r="13" spans="1:6" x14ac:dyDescent="0.25">
      <c r="A13">
        <v>18</v>
      </c>
      <c r="B13" s="1">
        <v>46082</v>
      </c>
      <c r="C13">
        <v>96</v>
      </c>
      <c r="D13" s="2">
        <f t="shared" si="0"/>
        <v>87.272727272727266</v>
      </c>
      <c r="E13" t="s">
        <v>6</v>
      </c>
      <c r="F13" t="s">
        <v>11</v>
      </c>
    </row>
    <row r="14" spans="1:6" x14ac:dyDescent="0.25">
      <c r="A14">
        <v>17</v>
      </c>
      <c r="B14" s="1">
        <v>46065</v>
      </c>
      <c r="C14">
        <v>80</v>
      </c>
      <c r="D14" s="2">
        <f t="shared" si="0"/>
        <v>72.72727272727272</v>
      </c>
      <c r="E14" t="s">
        <v>4</v>
      </c>
      <c r="F14" t="s">
        <v>11</v>
      </c>
    </row>
    <row r="15" spans="1:6" x14ac:dyDescent="0.25">
      <c r="A15">
        <v>12</v>
      </c>
      <c r="B15" s="1">
        <v>46266</v>
      </c>
      <c r="C15">
        <v>498</v>
      </c>
      <c r="D15" s="2">
        <f t="shared" si="0"/>
        <v>452.72727272727269</v>
      </c>
      <c r="E15" t="s">
        <v>7</v>
      </c>
      <c r="F15" t="s">
        <v>10</v>
      </c>
    </row>
    <row r="16" spans="1:6" x14ac:dyDescent="0.25">
      <c r="A16">
        <v>18</v>
      </c>
      <c r="B16" s="1">
        <v>46264</v>
      </c>
      <c r="C16">
        <v>138</v>
      </c>
      <c r="D16" s="2">
        <f t="shared" si="0"/>
        <v>125.45454545454544</v>
      </c>
      <c r="E16" t="s">
        <v>6</v>
      </c>
      <c r="F16" t="s">
        <v>10</v>
      </c>
    </row>
    <row r="17" spans="1:6" x14ac:dyDescent="0.25">
      <c r="A17">
        <v>13</v>
      </c>
      <c r="B17" s="1">
        <v>46138</v>
      </c>
      <c r="C17">
        <v>375</v>
      </c>
      <c r="D17" s="2">
        <f t="shared" si="0"/>
        <v>340.90909090909088</v>
      </c>
      <c r="E17" t="s">
        <v>4</v>
      </c>
      <c r="F17" t="s">
        <v>10</v>
      </c>
    </row>
    <row r="18" spans="1:6" x14ac:dyDescent="0.25">
      <c r="A18">
        <v>12</v>
      </c>
      <c r="B18" s="1">
        <v>46160</v>
      </c>
      <c r="C18">
        <v>174</v>
      </c>
      <c r="D18" s="2">
        <f t="shared" si="0"/>
        <v>158.18181818181816</v>
      </c>
      <c r="E18" t="s">
        <v>5</v>
      </c>
      <c r="F18" t="s">
        <v>11</v>
      </c>
    </row>
    <row r="19" spans="1:6" x14ac:dyDescent="0.25">
      <c r="A19">
        <v>24</v>
      </c>
      <c r="B19" s="1">
        <v>46071</v>
      </c>
      <c r="C19">
        <v>285</v>
      </c>
      <c r="D19" s="2">
        <f t="shared" si="0"/>
        <v>259.09090909090907</v>
      </c>
      <c r="E19" t="s">
        <v>8</v>
      </c>
      <c r="F19" t="s">
        <v>10</v>
      </c>
    </row>
    <row r="20" spans="1:6" x14ac:dyDescent="0.25">
      <c r="A20">
        <v>13</v>
      </c>
      <c r="B20" s="1">
        <v>46309</v>
      </c>
      <c r="C20">
        <v>362</v>
      </c>
      <c r="D20" s="2">
        <f t="shared" si="0"/>
        <v>329.09090909090907</v>
      </c>
      <c r="E20" t="s">
        <v>8</v>
      </c>
      <c r="F20" t="s">
        <v>11</v>
      </c>
    </row>
    <row r="21" spans="1:6" x14ac:dyDescent="0.25">
      <c r="A21">
        <v>10</v>
      </c>
      <c r="B21" s="1">
        <v>46048</v>
      </c>
      <c r="C21">
        <v>125</v>
      </c>
      <c r="D21" s="2">
        <f t="shared" si="0"/>
        <v>113.63636363636363</v>
      </c>
      <c r="E21" t="s">
        <v>9</v>
      </c>
      <c r="F21" t="s">
        <v>10</v>
      </c>
    </row>
    <row r="22" spans="1:6" x14ac:dyDescent="0.25">
      <c r="A22">
        <v>23</v>
      </c>
      <c r="B22" s="1">
        <v>46246</v>
      </c>
      <c r="C22">
        <v>181</v>
      </c>
      <c r="D22" s="2">
        <f t="shared" si="0"/>
        <v>164.54545454545453</v>
      </c>
      <c r="E22" t="s">
        <v>9</v>
      </c>
      <c r="F22" t="s">
        <v>11</v>
      </c>
    </row>
    <row r="23" spans="1:6" x14ac:dyDescent="0.25">
      <c r="A23">
        <v>16</v>
      </c>
      <c r="B23" s="1">
        <v>46204</v>
      </c>
      <c r="C23">
        <v>311</v>
      </c>
      <c r="D23" s="2">
        <f t="shared" si="0"/>
        <v>282.72727272727269</v>
      </c>
      <c r="E23" t="s">
        <v>5</v>
      </c>
      <c r="F23" t="s">
        <v>10</v>
      </c>
    </row>
    <row r="24" spans="1:6" x14ac:dyDescent="0.25">
      <c r="A24">
        <v>18</v>
      </c>
      <c r="B24" s="1">
        <v>46122</v>
      </c>
      <c r="C24">
        <v>330</v>
      </c>
      <c r="D24" s="2">
        <f t="shared" si="0"/>
        <v>300</v>
      </c>
      <c r="E24" t="s">
        <v>9</v>
      </c>
      <c r="F24" t="s">
        <v>11</v>
      </c>
    </row>
    <row r="25" spans="1:6" x14ac:dyDescent="0.25">
      <c r="A25">
        <v>26</v>
      </c>
      <c r="B25" s="1">
        <v>46283</v>
      </c>
      <c r="C25">
        <v>174</v>
      </c>
      <c r="D25" s="2">
        <f t="shared" si="0"/>
        <v>158.18181818181816</v>
      </c>
      <c r="E25" t="s">
        <v>5</v>
      </c>
      <c r="F25" t="s">
        <v>10</v>
      </c>
    </row>
    <row r="26" spans="1:6" x14ac:dyDescent="0.25">
      <c r="A26">
        <v>24</v>
      </c>
      <c r="B26" s="1">
        <v>46295</v>
      </c>
      <c r="C26">
        <v>440</v>
      </c>
      <c r="D26" s="2">
        <f t="shared" si="0"/>
        <v>399.99999999999994</v>
      </c>
      <c r="E26" t="s">
        <v>6</v>
      </c>
      <c r="F26" t="s">
        <v>11</v>
      </c>
    </row>
    <row r="27" spans="1:6" x14ac:dyDescent="0.25">
      <c r="A27">
        <v>14</v>
      </c>
      <c r="B27" s="1">
        <v>46052</v>
      </c>
      <c r="C27">
        <v>199</v>
      </c>
      <c r="D27" s="2">
        <f t="shared" si="0"/>
        <v>180.90909090909091</v>
      </c>
      <c r="E27" t="s">
        <v>5</v>
      </c>
      <c r="F27" t="s">
        <v>10</v>
      </c>
    </row>
    <row r="28" spans="1:6" x14ac:dyDescent="0.25">
      <c r="A28">
        <v>15</v>
      </c>
      <c r="B28" s="1">
        <v>46168</v>
      </c>
      <c r="C28">
        <v>122</v>
      </c>
      <c r="D28" s="2">
        <f t="shared" si="0"/>
        <v>110.90909090909091</v>
      </c>
      <c r="E28" t="s">
        <v>5</v>
      </c>
      <c r="F28" t="s">
        <v>10</v>
      </c>
    </row>
    <row r="29" spans="1:6" x14ac:dyDescent="0.25">
      <c r="A29">
        <v>14</v>
      </c>
      <c r="B29" s="1">
        <v>46166</v>
      </c>
      <c r="C29">
        <v>220</v>
      </c>
      <c r="D29" s="2">
        <f t="shared" si="0"/>
        <v>199.99999999999997</v>
      </c>
      <c r="E29" t="s">
        <v>6</v>
      </c>
      <c r="F29" t="s">
        <v>11</v>
      </c>
    </row>
    <row r="30" spans="1:6" x14ac:dyDescent="0.25">
      <c r="A30">
        <v>12</v>
      </c>
      <c r="B30" s="1">
        <v>46306</v>
      </c>
      <c r="C30">
        <v>379</v>
      </c>
      <c r="D30" s="2">
        <f t="shared" si="0"/>
        <v>344.5454545454545</v>
      </c>
      <c r="E30" t="s">
        <v>5</v>
      </c>
      <c r="F30" t="s">
        <v>11</v>
      </c>
    </row>
    <row r="31" spans="1:6" x14ac:dyDescent="0.25">
      <c r="A31">
        <v>26</v>
      </c>
      <c r="B31" s="1">
        <v>46257</v>
      </c>
      <c r="C31">
        <v>322</v>
      </c>
      <c r="D31" s="2">
        <f t="shared" si="0"/>
        <v>292.72727272727269</v>
      </c>
      <c r="E31" t="s">
        <v>6</v>
      </c>
      <c r="F31" t="s">
        <v>10</v>
      </c>
    </row>
    <row r="32" spans="1:6" x14ac:dyDescent="0.25">
      <c r="A32">
        <v>16</v>
      </c>
      <c r="B32" s="1">
        <v>46230</v>
      </c>
      <c r="C32">
        <v>500</v>
      </c>
      <c r="D32" s="2">
        <f t="shared" si="0"/>
        <v>454.5454545454545</v>
      </c>
      <c r="E32" t="s">
        <v>6</v>
      </c>
      <c r="F32" t="s">
        <v>10</v>
      </c>
    </row>
    <row r="33" spans="1:6" x14ac:dyDescent="0.25">
      <c r="A33">
        <v>23</v>
      </c>
      <c r="B33" s="1">
        <v>46167</v>
      </c>
      <c r="C33">
        <v>427</v>
      </c>
      <c r="D33" s="2">
        <f t="shared" si="0"/>
        <v>388.18181818181813</v>
      </c>
      <c r="E33" t="s">
        <v>9</v>
      </c>
      <c r="F33" t="s">
        <v>10</v>
      </c>
    </row>
    <row r="34" spans="1:6" x14ac:dyDescent="0.25">
      <c r="A34">
        <v>30</v>
      </c>
      <c r="B34" s="1">
        <v>46166</v>
      </c>
      <c r="C34">
        <v>239</v>
      </c>
      <c r="D34" s="2">
        <f t="shared" si="0"/>
        <v>217.27272727272725</v>
      </c>
      <c r="E34" t="s">
        <v>6</v>
      </c>
      <c r="F34" t="s">
        <v>11</v>
      </c>
    </row>
    <row r="35" spans="1:6" x14ac:dyDescent="0.25">
      <c r="A35">
        <v>29</v>
      </c>
      <c r="B35" s="1">
        <v>46061</v>
      </c>
      <c r="C35">
        <v>487</v>
      </c>
      <c r="D35" s="2">
        <f t="shared" si="0"/>
        <v>442.72727272727269</v>
      </c>
      <c r="E35" t="s">
        <v>5</v>
      </c>
      <c r="F35" t="s">
        <v>11</v>
      </c>
    </row>
    <row r="36" spans="1:6" x14ac:dyDescent="0.25">
      <c r="A36">
        <v>29</v>
      </c>
      <c r="B36" s="1">
        <v>46133</v>
      </c>
      <c r="C36">
        <v>87</v>
      </c>
      <c r="D36" s="2">
        <f t="shared" si="0"/>
        <v>79.090909090909079</v>
      </c>
      <c r="E36" t="s">
        <v>4</v>
      </c>
      <c r="F36" t="s">
        <v>11</v>
      </c>
    </row>
    <row r="37" spans="1:6" x14ac:dyDescent="0.25">
      <c r="A37">
        <v>30</v>
      </c>
      <c r="B37" s="1">
        <v>46091</v>
      </c>
      <c r="C37">
        <v>451</v>
      </c>
      <c r="D37" s="2">
        <f t="shared" si="0"/>
        <v>409.99999999999994</v>
      </c>
      <c r="E37" t="s">
        <v>7</v>
      </c>
      <c r="F37" t="s">
        <v>11</v>
      </c>
    </row>
    <row r="38" spans="1:6" x14ac:dyDescent="0.25">
      <c r="A38">
        <v>10</v>
      </c>
      <c r="B38" s="1">
        <v>46178</v>
      </c>
      <c r="C38">
        <v>380</v>
      </c>
      <c r="D38" s="2">
        <f t="shared" si="0"/>
        <v>345.45454545454544</v>
      </c>
      <c r="E38" t="s">
        <v>8</v>
      </c>
      <c r="F38" t="s">
        <v>10</v>
      </c>
    </row>
    <row r="39" spans="1:6" x14ac:dyDescent="0.25">
      <c r="A39">
        <v>24</v>
      </c>
      <c r="B39" s="1">
        <v>46066</v>
      </c>
      <c r="C39">
        <v>104</v>
      </c>
      <c r="D39" s="2">
        <f t="shared" si="0"/>
        <v>94.545454545454533</v>
      </c>
      <c r="E39" t="s">
        <v>6</v>
      </c>
      <c r="F39" t="s">
        <v>10</v>
      </c>
    </row>
    <row r="40" spans="1:6" x14ac:dyDescent="0.25">
      <c r="A40">
        <v>10</v>
      </c>
      <c r="B40" s="1">
        <v>46178</v>
      </c>
      <c r="C40">
        <v>439</v>
      </c>
      <c r="D40" s="2">
        <f t="shared" si="0"/>
        <v>399.09090909090907</v>
      </c>
      <c r="E40" t="s">
        <v>6</v>
      </c>
      <c r="F40" t="s">
        <v>11</v>
      </c>
    </row>
    <row r="41" spans="1:6" x14ac:dyDescent="0.25">
      <c r="A41">
        <v>14</v>
      </c>
      <c r="B41" s="1">
        <v>46047</v>
      </c>
      <c r="C41">
        <v>81</v>
      </c>
      <c r="D41" s="2">
        <f t="shared" si="0"/>
        <v>73.636363636363626</v>
      </c>
      <c r="E41" t="s">
        <v>4</v>
      </c>
      <c r="F41" t="s">
        <v>10</v>
      </c>
    </row>
    <row r="42" spans="1:6" x14ac:dyDescent="0.25">
      <c r="A42">
        <v>28</v>
      </c>
      <c r="B42" s="1">
        <v>46135</v>
      </c>
      <c r="C42">
        <v>463</v>
      </c>
      <c r="D42" s="2">
        <f t="shared" si="0"/>
        <v>420.90909090909088</v>
      </c>
      <c r="E42" t="s">
        <v>6</v>
      </c>
      <c r="F42" t="s">
        <v>10</v>
      </c>
    </row>
    <row r="43" spans="1:6" x14ac:dyDescent="0.25">
      <c r="A43">
        <v>23</v>
      </c>
      <c r="B43" s="1">
        <v>46043</v>
      </c>
      <c r="C43">
        <v>53</v>
      </c>
      <c r="D43" s="2">
        <f t="shared" si="0"/>
        <v>48.18181818181818</v>
      </c>
      <c r="E43" t="s">
        <v>9</v>
      </c>
      <c r="F43" t="s">
        <v>10</v>
      </c>
    </row>
    <row r="44" spans="1:6" x14ac:dyDescent="0.25">
      <c r="A44">
        <v>12</v>
      </c>
      <c r="B44" s="1">
        <v>46095</v>
      </c>
      <c r="C44">
        <v>417</v>
      </c>
      <c r="D44" s="2">
        <f t="shared" si="0"/>
        <v>379.09090909090907</v>
      </c>
      <c r="E44" t="s">
        <v>4</v>
      </c>
      <c r="F44" t="s">
        <v>10</v>
      </c>
    </row>
    <row r="45" spans="1:6" x14ac:dyDescent="0.25">
      <c r="A45">
        <v>23</v>
      </c>
      <c r="B45" s="1">
        <v>46049</v>
      </c>
      <c r="C45">
        <v>285</v>
      </c>
      <c r="D45" s="2">
        <f t="shared" si="0"/>
        <v>259.09090909090907</v>
      </c>
      <c r="E45" t="s">
        <v>4</v>
      </c>
      <c r="F45" t="s">
        <v>11</v>
      </c>
    </row>
    <row r="46" spans="1:6" x14ac:dyDescent="0.25">
      <c r="A46">
        <v>24</v>
      </c>
      <c r="B46" s="1">
        <v>46168</v>
      </c>
      <c r="C46">
        <v>135</v>
      </c>
      <c r="D46" s="2">
        <f t="shared" si="0"/>
        <v>122.72727272727272</v>
      </c>
      <c r="E46" t="s">
        <v>4</v>
      </c>
      <c r="F46" t="s">
        <v>11</v>
      </c>
    </row>
    <row r="47" spans="1:6" x14ac:dyDescent="0.25">
      <c r="A47">
        <v>22</v>
      </c>
      <c r="B47" s="1">
        <v>46063</v>
      </c>
      <c r="C47">
        <v>191</v>
      </c>
      <c r="D47" s="2">
        <f t="shared" si="0"/>
        <v>173.63636363636363</v>
      </c>
      <c r="E47" t="s">
        <v>6</v>
      </c>
      <c r="F47" t="s">
        <v>11</v>
      </c>
    </row>
    <row r="48" spans="1:6" x14ac:dyDescent="0.25">
      <c r="A48">
        <v>16</v>
      </c>
      <c r="B48" s="1">
        <v>46141</v>
      </c>
      <c r="C48">
        <v>79</v>
      </c>
      <c r="D48" s="2">
        <f t="shared" si="0"/>
        <v>71.818181818181813</v>
      </c>
      <c r="E48" t="s">
        <v>8</v>
      </c>
      <c r="F48" t="s">
        <v>11</v>
      </c>
    </row>
    <row r="49" spans="1:6" x14ac:dyDescent="0.25">
      <c r="A49">
        <v>30</v>
      </c>
      <c r="B49" s="1">
        <v>46169</v>
      </c>
      <c r="C49">
        <v>219</v>
      </c>
      <c r="D49" s="2">
        <f t="shared" si="0"/>
        <v>199.09090909090907</v>
      </c>
      <c r="E49" t="s">
        <v>7</v>
      </c>
      <c r="F49" t="s">
        <v>10</v>
      </c>
    </row>
    <row r="50" spans="1:6" x14ac:dyDescent="0.25">
      <c r="A50">
        <v>16</v>
      </c>
      <c r="B50" s="1">
        <v>46142</v>
      </c>
      <c r="C50">
        <v>93</v>
      </c>
      <c r="D50" s="2">
        <f t="shared" si="0"/>
        <v>84.545454545454533</v>
      </c>
      <c r="E50" t="s">
        <v>5</v>
      </c>
      <c r="F50" t="s">
        <v>10</v>
      </c>
    </row>
    <row r="51" spans="1:6" x14ac:dyDescent="0.25">
      <c r="A51">
        <v>15</v>
      </c>
      <c r="B51" s="1">
        <v>46188</v>
      </c>
      <c r="C51">
        <v>117</v>
      </c>
      <c r="D51" s="2">
        <f t="shared" si="0"/>
        <v>106.36363636363636</v>
      </c>
      <c r="E51" t="s">
        <v>4</v>
      </c>
      <c r="F51" t="s">
        <v>10</v>
      </c>
    </row>
    <row r="52" spans="1:6" x14ac:dyDescent="0.25">
      <c r="A52">
        <v>10</v>
      </c>
      <c r="B52" s="1">
        <v>46024</v>
      </c>
      <c r="C52">
        <v>257</v>
      </c>
      <c r="D52" s="2">
        <f t="shared" si="0"/>
        <v>233.63636363636363</v>
      </c>
      <c r="E52" t="s">
        <v>5</v>
      </c>
      <c r="F52" t="s">
        <v>10</v>
      </c>
    </row>
    <row r="53" spans="1:6" x14ac:dyDescent="0.25">
      <c r="A53">
        <v>12</v>
      </c>
      <c r="B53" s="1">
        <v>46182</v>
      </c>
      <c r="C53">
        <v>462</v>
      </c>
      <c r="D53" s="2">
        <f t="shared" si="0"/>
        <v>419.99999999999994</v>
      </c>
      <c r="E53" t="s">
        <v>4</v>
      </c>
      <c r="F53" t="s">
        <v>10</v>
      </c>
    </row>
    <row r="54" spans="1:6" x14ac:dyDescent="0.25">
      <c r="A54">
        <v>18</v>
      </c>
      <c r="B54" s="1">
        <v>46182</v>
      </c>
      <c r="C54">
        <v>222</v>
      </c>
      <c r="D54" s="2">
        <f t="shared" si="0"/>
        <v>201.81818181818181</v>
      </c>
      <c r="E54" t="s">
        <v>7</v>
      </c>
      <c r="F54" t="s">
        <v>11</v>
      </c>
    </row>
    <row r="55" spans="1:6" x14ac:dyDescent="0.25">
      <c r="A55">
        <v>26</v>
      </c>
      <c r="B55" s="1">
        <v>46258</v>
      </c>
      <c r="C55">
        <v>170</v>
      </c>
      <c r="D55" s="2">
        <f t="shared" si="0"/>
        <v>154.54545454545453</v>
      </c>
      <c r="E55" t="s">
        <v>7</v>
      </c>
      <c r="F55" t="s">
        <v>10</v>
      </c>
    </row>
    <row r="56" spans="1:6" x14ac:dyDescent="0.25">
      <c r="A56">
        <v>26</v>
      </c>
      <c r="B56" s="1">
        <v>46273</v>
      </c>
      <c r="C56">
        <v>397</v>
      </c>
      <c r="D56" s="2">
        <f t="shared" si="0"/>
        <v>360.90909090909088</v>
      </c>
      <c r="E56" t="s">
        <v>8</v>
      </c>
      <c r="F56" t="s">
        <v>10</v>
      </c>
    </row>
    <row r="57" spans="1:6" x14ac:dyDescent="0.25">
      <c r="A57">
        <v>26</v>
      </c>
      <c r="B57" s="1">
        <v>46283</v>
      </c>
      <c r="C57">
        <v>315</v>
      </c>
      <c r="D57" s="2">
        <f t="shared" si="0"/>
        <v>286.36363636363632</v>
      </c>
      <c r="E57" t="s">
        <v>4</v>
      </c>
      <c r="F57" t="s">
        <v>10</v>
      </c>
    </row>
    <row r="58" spans="1:6" x14ac:dyDescent="0.25">
      <c r="A58">
        <v>16</v>
      </c>
      <c r="B58" s="1">
        <v>46195</v>
      </c>
      <c r="C58">
        <v>425</v>
      </c>
      <c r="D58" s="2">
        <f t="shared" si="0"/>
        <v>386.36363636363632</v>
      </c>
      <c r="E58" t="s">
        <v>7</v>
      </c>
      <c r="F58" t="s">
        <v>11</v>
      </c>
    </row>
    <row r="59" spans="1:6" x14ac:dyDescent="0.25">
      <c r="A59">
        <v>15</v>
      </c>
      <c r="B59" s="1">
        <v>46235</v>
      </c>
      <c r="C59">
        <v>477</v>
      </c>
      <c r="D59" s="2">
        <f t="shared" si="0"/>
        <v>433.63636363636363</v>
      </c>
      <c r="E59" t="s">
        <v>6</v>
      </c>
      <c r="F59" t="s">
        <v>10</v>
      </c>
    </row>
    <row r="60" spans="1:6" x14ac:dyDescent="0.25">
      <c r="A60">
        <v>10</v>
      </c>
      <c r="B60" s="1">
        <v>46158</v>
      </c>
      <c r="C60">
        <v>490</v>
      </c>
      <c r="D60" s="2">
        <f t="shared" si="0"/>
        <v>445.45454545454544</v>
      </c>
      <c r="E60" t="s">
        <v>9</v>
      </c>
      <c r="F60" t="s">
        <v>10</v>
      </c>
    </row>
    <row r="61" spans="1:6" x14ac:dyDescent="0.25">
      <c r="A61">
        <v>10</v>
      </c>
      <c r="B61" s="1">
        <v>46155</v>
      </c>
      <c r="C61" s="7">
        <v>50</v>
      </c>
      <c r="D61" s="2">
        <f t="shared" si="0"/>
        <v>45.454545454545453</v>
      </c>
      <c r="E61" t="s">
        <v>5</v>
      </c>
      <c r="F61" t="s">
        <v>11</v>
      </c>
    </row>
    <row r="62" spans="1:6" x14ac:dyDescent="0.25">
      <c r="A62">
        <v>22</v>
      </c>
      <c r="B62" s="1">
        <v>46302</v>
      </c>
      <c r="C62" s="6">
        <v>349</v>
      </c>
      <c r="D62" s="2">
        <f t="shared" si="0"/>
        <v>317.27272727272725</v>
      </c>
      <c r="E62" t="s">
        <v>4</v>
      </c>
      <c r="F62" t="s">
        <v>11</v>
      </c>
    </row>
    <row r="63" spans="1:6" x14ac:dyDescent="0.25">
      <c r="A63">
        <v>10</v>
      </c>
      <c r="B63" s="1">
        <v>46261</v>
      </c>
      <c r="C63" s="6">
        <v>421</v>
      </c>
      <c r="D63" s="2">
        <f t="shared" si="0"/>
        <v>382.72727272727269</v>
      </c>
      <c r="E63" t="s">
        <v>8</v>
      </c>
      <c r="F63" t="s">
        <v>11</v>
      </c>
    </row>
    <row r="64" spans="1:6" x14ac:dyDescent="0.25">
      <c r="A64">
        <v>18</v>
      </c>
      <c r="B64" s="1">
        <v>46217</v>
      </c>
      <c r="C64">
        <v>390</v>
      </c>
      <c r="D64" s="2">
        <f t="shared" si="0"/>
        <v>354.5454545454545</v>
      </c>
      <c r="E64" t="s">
        <v>7</v>
      </c>
      <c r="F64" t="s">
        <v>10</v>
      </c>
    </row>
    <row r="65" spans="1:6" x14ac:dyDescent="0.25">
      <c r="A65">
        <v>16</v>
      </c>
      <c r="B65" s="1">
        <v>46174</v>
      </c>
      <c r="C65">
        <v>154</v>
      </c>
      <c r="D65" s="2">
        <f t="shared" si="0"/>
        <v>140</v>
      </c>
      <c r="E65" t="s">
        <v>4</v>
      </c>
      <c r="F65" t="s">
        <v>11</v>
      </c>
    </row>
    <row r="66" spans="1:6" x14ac:dyDescent="0.25">
      <c r="A66">
        <v>20</v>
      </c>
      <c r="B66" s="1">
        <v>46192</v>
      </c>
      <c r="C66">
        <v>367</v>
      </c>
      <c r="D66" s="2">
        <f t="shared" si="0"/>
        <v>333.63636363636363</v>
      </c>
      <c r="E66" t="s">
        <v>9</v>
      </c>
      <c r="F66" t="s">
        <v>10</v>
      </c>
    </row>
    <row r="67" spans="1:6" x14ac:dyDescent="0.25">
      <c r="A67">
        <v>29</v>
      </c>
      <c r="B67" s="1">
        <v>46216</v>
      </c>
      <c r="C67">
        <v>469</v>
      </c>
      <c r="D67" s="2">
        <f t="shared" ref="D67:D100" si="1">C67/1.1</f>
        <v>426.36363636363632</v>
      </c>
      <c r="E67" t="s">
        <v>8</v>
      </c>
      <c r="F67" t="s">
        <v>10</v>
      </c>
    </row>
    <row r="68" spans="1:6" x14ac:dyDescent="0.25">
      <c r="A68">
        <v>19</v>
      </c>
      <c r="B68" s="1">
        <v>46259</v>
      </c>
      <c r="C68">
        <v>184</v>
      </c>
      <c r="D68" s="2">
        <f t="shared" si="1"/>
        <v>167.27272727272725</v>
      </c>
      <c r="E68" t="s">
        <v>7</v>
      </c>
      <c r="F68" t="s">
        <v>11</v>
      </c>
    </row>
    <row r="69" spans="1:6" x14ac:dyDescent="0.25">
      <c r="A69">
        <v>20</v>
      </c>
      <c r="B69" s="1">
        <v>46045</v>
      </c>
      <c r="C69">
        <v>375</v>
      </c>
      <c r="D69" s="2">
        <f t="shared" si="1"/>
        <v>340.90909090909088</v>
      </c>
      <c r="E69" t="s">
        <v>9</v>
      </c>
      <c r="F69" t="s">
        <v>10</v>
      </c>
    </row>
    <row r="70" spans="1:6" x14ac:dyDescent="0.25">
      <c r="A70">
        <v>27</v>
      </c>
      <c r="B70" s="1">
        <v>46024</v>
      </c>
      <c r="C70">
        <v>247</v>
      </c>
      <c r="D70" s="2">
        <f t="shared" si="1"/>
        <v>224.54545454545453</v>
      </c>
      <c r="E70" t="s">
        <v>9</v>
      </c>
      <c r="F70" t="s">
        <v>11</v>
      </c>
    </row>
    <row r="71" spans="1:6" x14ac:dyDescent="0.25">
      <c r="A71">
        <v>23</v>
      </c>
      <c r="B71" s="1">
        <v>46144</v>
      </c>
      <c r="C71">
        <v>381</v>
      </c>
      <c r="D71" s="2">
        <f t="shared" si="1"/>
        <v>346.36363636363632</v>
      </c>
      <c r="E71" t="s">
        <v>5</v>
      </c>
      <c r="F71" t="s">
        <v>10</v>
      </c>
    </row>
    <row r="72" spans="1:6" x14ac:dyDescent="0.25">
      <c r="A72">
        <v>24</v>
      </c>
      <c r="B72" s="1">
        <v>46190</v>
      </c>
      <c r="C72">
        <v>348</v>
      </c>
      <c r="D72" s="2">
        <f t="shared" si="1"/>
        <v>316.36363636363632</v>
      </c>
      <c r="E72" t="s">
        <v>6</v>
      </c>
      <c r="F72" t="s">
        <v>10</v>
      </c>
    </row>
    <row r="73" spans="1:6" x14ac:dyDescent="0.25">
      <c r="A73">
        <v>20</v>
      </c>
      <c r="B73" s="1">
        <v>46186</v>
      </c>
      <c r="C73">
        <v>149</v>
      </c>
      <c r="D73" s="2">
        <f t="shared" si="1"/>
        <v>135.45454545454544</v>
      </c>
      <c r="E73" t="s">
        <v>9</v>
      </c>
      <c r="F73" t="s">
        <v>11</v>
      </c>
    </row>
    <row r="74" spans="1:6" x14ac:dyDescent="0.25">
      <c r="A74">
        <v>20</v>
      </c>
      <c r="B74" s="1">
        <v>46211</v>
      </c>
      <c r="C74">
        <v>61</v>
      </c>
      <c r="D74" s="2">
        <f t="shared" si="1"/>
        <v>55.454545454545453</v>
      </c>
      <c r="E74" t="s">
        <v>8</v>
      </c>
      <c r="F74" t="s">
        <v>10</v>
      </c>
    </row>
    <row r="75" spans="1:6" x14ac:dyDescent="0.25">
      <c r="A75">
        <v>21</v>
      </c>
      <c r="B75" s="1">
        <v>46186</v>
      </c>
      <c r="C75">
        <v>142</v>
      </c>
      <c r="D75" s="2">
        <f t="shared" si="1"/>
        <v>129.09090909090909</v>
      </c>
      <c r="E75" t="s">
        <v>5</v>
      </c>
      <c r="F75" t="s">
        <v>11</v>
      </c>
    </row>
    <row r="76" spans="1:6" x14ac:dyDescent="0.25">
      <c r="A76">
        <v>29</v>
      </c>
      <c r="B76" s="1">
        <v>46309</v>
      </c>
      <c r="C76">
        <v>253</v>
      </c>
      <c r="D76" s="2">
        <f t="shared" si="1"/>
        <v>229.99999999999997</v>
      </c>
      <c r="E76" t="s">
        <v>6</v>
      </c>
      <c r="F76" t="s">
        <v>11</v>
      </c>
    </row>
    <row r="77" spans="1:6" x14ac:dyDescent="0.25">
      <c r="A77">
        <v>10</v>
      </c>
      <c r="B77" s="1">
        <v>46039</v>
      </c>
      <c r="C77">
        <v>293</v>
      </c>
      <c r="D77" s="2">
        <f t="shared" si="1"/>
        <v>266.36363636363632</v>
      </c>
      <c r="E77" t="s">
        <v>7</v>
      </c>
      <c r="F77" t="s">
        <v>10</v>
      </c>
    </row>
    <row r="78" spans="1:6" x14ac:dyDescent="0.25">
      <c r="A78">
        <v>13</v>
      </c>
      <c r="B78" s="1">
        <v>46163</v>
      </c>
      <c r="C78">
        <v>297</v>
      </c>
      <c r="D78" s="2">
        <f t="shared" si="1"/>
        <v>270</v>
      </c>
      <c r="E78" t="s">
        <v>7</v>
      </c>
      <c r="F78" t="s">
        <v>10</v>
      </c>
    </row>
    <row r="79" spans="1:6" x14ac:dyDescent="0.25">
      <c r="A79">
        <v>23</v>
      </c>
      <c r="B79" s="1">
        <v>46303</v>
      </c>
      <c r="C79">
        <v>373</v>
      </c>
      <c r="D79" s="2">
        <f t="shared" si="1"/>
        <v>339.09090909090907</v>
      </c>
      <c r="E79" t="s">
        <v>8</v>
      </c>
      <c r="F79" t="s">
        <v>11</v>
      </c>
    </row>
    <row r="80" spans="1:6" x14ac:dyDescent="0.25">
      <c r="A80">
        <v>22</v>
      </c>
      <c r="B80" s="1">
        <v>46299</v>
      </c>
      <c r="C80">
        <v>56</v>
      </c>
      <c r="D80" s="2">
        <f t="shared" si="1"/>
        <v>50.909090909090907</v>
      </c>
      <c r="E80" t="s">
        <v>6</v>
      </c>
      <c r="F80" t="s">
        <v>11</v>
      </c>
    </row>
    <row r="81" spans="1:6" x14ac:dyDescent="0.25">
      <c r="A81">
        <v>30</v>
      </c>
      <c r="B81" s="1">
        <v>46120</v>
      </c>
      <c r="C81">
        <v>81</v>
      </c>
      <c r="D81" s="2">
        <f t="shared" si="1"/>
        <v>73.636363636363626</v>
      </c>
      <c r="E81" t="s">
        <v>7</v>
      </c>
      <c r="F81" t="s">
        <v>10</v>
      </c>
    </row>
    <row r="82" spans="1:6" x14ac:dyDescent="0.25">
      <c r="A82">
        <v>24</v>
      </c>
      <c r="B82" s="1">
        <v>46078</v>
      </c>
      <c r="C82">
        <v>356</v>
      </c>
      <c r="D82" s="2">
        <f t="shared" si="1"/>
        <v>323.63636363636363</v>
      </c>
      <c r="E82" t="s">
        <v>4</v>
      </c>
      <c r="F82" t="s">
        <v>11</v>
      </c>
    </row>
    <row r="83" spans="1:6" x14ac:dyDescent="0.25">
      <c r="A83">
        <v>26</v>
      </c>
      <c r="B83" s="1">
        <v>46182</v>
      </c>
      <c r="C83">
        <v>454</v>
      </c>
      <c r="D83" s="2">
        <f t="shared" si="1"/>
        <v>412.72727272727269</v>
      </c>
      <c r="E83" t="s">
        <v>5</v>
      </c>
      <c r="F83" t="s">
        <v>10</v>
      </c>
    </row>
    <row r="84" spans="1:6" x14ac:dyDescent="0.25">
      <c r="A84">
        <v>14</v>
      </c>
      <c r="B84" s="1">
        <v>46246</v>
      </c>
      <c r="C84">
        <v>453</v>
      </c>
      <c r="D84" s="2">
        <f t="shared" si="1"/>
        <v>411.81818181818181</v>
      </c>
      <c r="E84" t="s">
        <v>7</v>
      </c>
      <c r="F84" t="s">
        <v>10</v>
      </c>
    </row>
    <row r="85" spans="1:6" x14ac:dyDescent="0.25">
      <c r="A85">
        <v>30</v>
      </c>
      <c r="B85" s="1">
        <v>46252</v>
      </c>
      <c r="C85">
        <v>416</v>
      </c>
      <c r="D85" s="2">
        <f t="shared" si="1"/>
        <v>378.18181818181813</v>
      </c>
      <c r="E85" t="s">
        <v>4</v>
      </c>
      <c r="F85" t="s">
        <v>10</v>
      </c>
    </row>
    <row r="86" spans="1:6" x14ac:dyDescent="0.25">
      <c r="A86">
        <v>16</v>
      </c>
      <c r="B86" s="1">
        <v>46307</v>
      </c>
      <c r="C86">
        <v>77</v>
      </c>
      <c r="D86" s="2">
        <f t="shared" si="1"/>
        <v>70</v>
      </c>
      <c r="E86" t="s">
        <v>7</v>
      </c>
      <c r="F86" t="s">
        <v>10</v>
      </c>
    </row>
    <row r="87" spans="1:6" x14ac:dyDescent="0.25">
      <c r="A87">
        <v>24</v>
      </c>
      <c r="B87" s="1">
        <v>46295</v>
      </c>
      <c r="C87">
        <v>500</v>
      </c>
      <c r="D87" s="2">
        <f t="shared" si="1"/>
        <v>454.5454545454545</v>
      </c>
      <c r="E87" t="s">
        <v>5</v>
      </c>
      <c r="F87" t="s">
        <v>10</v>
      </c>
    </row>
    <row r="88" spans="1:6" x14ac:dyDescent="0.25">
      <c r="A88">
        <v>12</v>
      </c>
      <c r="B88" s="1">
        <v>46294</v>
      </c>
      <c r="C88">
        <v>274</v>
      </c>
      <c r="D88" s="2">
        <f t="shared" si="1"/>
        <v>249.09090909090907</v>
      </c>
      <c r="E88" t="s">
        <v>9</v>
      </c>
      <c r="F88" t="s">
        <v>11</v>
      </c>
    </row>
    <row r="89" spans="1:6" x14ac:dyDescent="0.25">
      <c r="A89">
        <v>29</v>
      </c>
      <c r="B89" s="1">
        <v>46104</v>
      </c>
      <c r="C89">
        <v>275</v>
      </c>
      <c r="D89" s="2">
        <f t="shared" si="1"/>
        <v>249.99999999999997</v>
      </c>
      <c r="E89" t="s">
        <v>6</v>
      </c>
      <c r="F89" t="s">
        <v>10</v>
      </c>
    </row>
    <row r="90" spans="1:6" x14ac:dyDescent="0.25">
      <c r="A90">
        <v>24</v>
      </c>
      <c r="B90" s="1">
        <v>46227</v>
      </c>
      <c r="C90">
        <v>491</v>
      </c>
      <c r="D90" s="2">
        <f t="shared" si="1"/>
        <v>446.36363636363632</v>
      </c>
      <c r="E90" t="s">
        <v>5</v>
      </c>
      <c r="F90" t="s">
        <v>10</v>
      </c>
    </row>
    <row r="91" spans="1:6" x14ac:dyDescent="0.25">
      <c r="A91">
        <v>17</v>
      </c>
      <c r="B91" s="1">
        <v>46037</v>
      </c>
      <c r="C91">
        <v>303</v>
      </c>
      <c r="D91" s="2">
        <f t="shared" si="1"/>
        <v>275.45454545454544</v>
      </c>
      <c r="E91" t="s">
        <v>7</v>
      </c>
      <c r="F91" t="s">
        <v>11</v>
      </c>
    </row>
    <row r="92" spans="1:6" x14ac:dyDescent="0.25">
      <c r="A92">
        <v>14</v>
      </c>
      <c r="B92" s="1">
        <v>46093</v>
      </c>
      <c r="C92">
        <v>136</v>
      </c>
      <c r="D92" s="2">
        <f t="shared" si="1"/>
        <v>123.63636363636363</v>
      </c>
      <c r="E92" t="s">
        <v>6</v>
      </c>
      <c r="F92" t="s">
        <v>11</v>
      </c>
    </row>
    <row r="93" spans="1:6" x14ac:dyDescent="0.25">
      <c r="A93">
        <v>25</v>
      </c>
      <c r="B93" s="1">
        <v>46040</v>
      </c>
      <c r="C93">
        <v>212</v>
      </c>
      <c r="D93" s="2">
        <f t="shared" si="1"/>
        <v>192.72727272727272</v>
      </c>
      <c r="E93" t="s">
        <v>4</v>
      </c>
      <c r="F93" t="s">
        <v>11</v>
      </c>
    </row>
    <row r="94" spans="1:6" x14ac:dyDescent="0.25">
      <c r="A94">
        <v>14</v>
      </c>
      <c r="B94" s="1">
        <v>46134</v>
      </c>
      <c r="C94">
        <v>350</v>
      </c>
      <c r="D94" s="2">
        <f t="shared" si="1"/>
        <v>318.18181818181813</v>
      </c>
      <c r="E94" t="s">
        <v>8</v>
      </c>
      <c r="F94" t="s">
        <v>11</v>
      </c>
    </row>
    <row r="95" spans="1:6" x14ac:dyDescent="0.25">
      <c r="A95">
        <v>21</v>
      </c>
      <c r="B95" s="1">
        <v>46174</v>
      </c>
      <c r="C95">
        <v>322</v>
      </c>
      <c r="D95" s="2">
        <f t="shared" si="1"/>
        <v>292.72727272727269</v>
      </c>
      <c r="E95" t="s">
        <v>9</v>
      </c>
      <c r="F95" t="s">
        <v>11</v>
      </c>
    </row>
    <row r="96" spans="1:6" x14ac:dyDescent="0.25">
      <c r="A96">
        <v>30</v>
      </c>
      <c r="B96" s="1">
        <v>46060</v>
      </c>
      <c r="C96">
        <v>54</v>
      </c>
      <c r="D96" s="2">
        <f t="shared" si="1"/>
        <v>49.090909090909086</v>
      </c>
      <c r="E96" t="s">
        <v>7</v>
      </c>
      <c r="F96" t="s">
        <v>10</v>
      </c>
    </row>
    <row r="97" spans="1:6" x14ac:dyDescent="0.25">
      <c r="A97">
        <v>25</v>
      </c>
      <c r="B97" s="1">
        <v>46275</v>
      </c>
      <c r="C97">
        <v>298</v>
      </c>
      <c r="D97" s="2">
        <f t="shared" si="1"/>
        <v>270.90909090909088</v>
      </c>
      <c r="E97" t="s">
        <v>9</v>
      </c>
      <c r="F97" t="s">
        <v>10</v>
      </c>
    </row>
    <row r="98" spans="1:6" x14ac:dyDescent="0.25">
      <c r="A98">
        <v>25</v>
      </c>
      <c r="B98" s="1">
        <v>46272</v>
      </c>
      <c r="C98">
        <v>231</v>
      </c>
      <c r="D98" s="2">
        <f t="shared" si="1"/>
        <v>209.99999999999997</v>
      </c>
      <c r="E98" t="s">
        <v>5</v>
      </c>
      <c r="F98" t="s">
        <v>10</v>
      </c>
    </row>
    <row r="99" spans="1:6" x14ac:dyDescent="0.25">
      <c r="A99">
        <v>14</v>
      </c>
      <c r="B99" s="1">
        <v>46204</v>
      </c>
      <c r="C99">
        <v>265</v>
      </c>
      <c r="D99" s="2">
        <f t="shared" si="1"/>
        <v>240.90909090909088</v>
      </c>
      <c r="E99" t="s">
        <v>8</v>
      </c>
      <c r="F99" t="s">
        <v>10</v>
      </c>
    </row>
    <row r="100" spans="1:6" x14ac:dyDescent="0.25">
      <c r="A100">
        <v>27</v>
      </c>
      <c r="B100" s="1">
        <v>46257</v>
      </c>
      <c r="C100">
        <v>206</v>
      </c>
      <c r="D100" s="2">
        <f t="shared" si="1"/>
        <v>187.27272727272725</v>
      </c>
      <c r="E100" t="s">
        <v>9</v>
      </c>
      <c r="F10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D6" sqref="D6"/>
    </sheetView>
  </sheetViews>
  <sheetFormatPr baseColWidth="10" defaultRowHeight="15" x14ac:dyDescent="0.25"/>
  <cols>
    <col min="3" max="3" width="12" bestFit="1" customWidth="1"/>
    <col min="4" max="4" width="12.140625" bestFit="1" customWidth="1"/>
    <col min="5" max="5" width="12.57031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13</v>
      </c>
      <c r="E1" t="s">
        <v>3</v>
      </c>
      <c r="F1" t="s">
        <v>12</v>
      </c>
    </row>
    <row r="2" spans="1:6" x14ac:dyDescent="0.25">
      <c r="A2">
        <v>30</v>
      </c>
      <c r="B2" s="1">
        <v>46048</v>
      </c>
      <c r="C2">
        <v>464</v>
      </c>
      <c r="D2" s="2">
        <f>+C2/1.1</f>
        <v>421.81818181818176</v>
      </c>
      <c r="E2" t="s">
        <v>5</v>
      </c>
      <c r="F2" t="s">
        <v>10</v>
      </c>
    </row>
    <row r="3" spans="1:6" x14ac:dyDescent="0.25">
      <c r="A3">
        <v>30</v>
      </c>
      <c r="B3" s="1">
        <v>46192</v>
      </c>
      <c r="C3">
        <v>457</v>
      </c>
      <c r="D3" s="2">
        <v>415.45454545454544</v>
      </c>
      <c r="E3" t="s">
        <v>5</v>
      </c>
      <c r="F3" t="s">
        <v>14</v>
      </c>
    </row>
    <row r="4" spans="1:6" x14ac:dyDescent="0.25">
      <c r="A4">
        <v>29</v>
      </c>
      <c r="B4" s="1">
        <v>46045</v>
      </c>
      <c r="C4">
        <v>251</v>
      </c>
      <c r="D4" s="2">
        <v>228.18181818181816</v>
      </c>
      <c r="E4" t="s">
        <v>7</v>
      </c>
      <c r="F4" t="s">
        <v>11</v>
      </c>
    </row>
    <row r="5" spans="1:6" x14ac:dyDescent="0.25">
      <c r="A5">
        <v>28</v>
      </c>
      <c r="B5" s="1">
        <v>46139</v>
      </c>
      <c r="C5">
        <v>375</v>
      </c>
      <c r="D5" s="2">
        <f>+C5/1.1</f>
        <v>340.90909090909088</v>
      </c>
      <c r="E5" t="s">
        <v>5</v>
      </c>
      <c r="F5" t="s">
        <v>11</v>
      </c>
    </row>
    <row r="6" spans="1:6" x14ac:dyDescent="0.25">
      <c r="A6">
        <v>28</v>
      </c>
      <c r="B6" s="1">
        <v>46066</v>
      </c>
      <c r="C6">
        <v>402</v>
      </c>
      <c r="D6" s="2">
        <v>365.45454545454544</v>
      </c>
      <c r="E6" t="s">
        <v>8</v>
      </c>
      <c r="F6" t="s">
        <v>11</v>
      </c>
    </row>
    <row r="7" spans="1:6" x14ac:dyDescent="0.25">
      <c r="A7">
        <v>28</v>
      </c>
      <c r="B7" s="1">
        <v>46102</v>
      </c>
      <c r="C7">
        <v>453</v>
      </c>
      <c r="D7" s="2">
        <v>411.81818181818181</v>
      </c>
      <c r="E7" t="s">
        <v>5</v>
      </c>
      <c r="F7" t="s">
        <v>15</v>
      </c>
    </row>
    <row r="8" spans="1:6" x14ac:dyDescent="0.25">
      <c r="A8">
        <v>28</v>
      </c>
      <c r="B8" s="1">
        <v>46067</v>
      </c>
      <c r="C8">
        <v>86</v>
      </c>
      <c r="D8" s="2">
        <v>78.181818181818173</v>
      </c>
      <c r="E8" t="s">
        <v>6</v>
      </c>
      <c r="F8" t="s">
        <v>11</v>
      </c>
    </row>
    <row r="9" spans="1:6" x14ac:dyDescent="0.25">
      <c r="A9">
        <v>28</v>
      </c>
      <c r="B9" s="1">
        <v>46047</v>
      </c>
      <c r="C9">
        <v>210</v>
      </c>
      <c r="D9" s="2">
        <v>190.90909090909091</v>
      </c>
      <c r="E9" t="s">
        <v>8</v>
      </c>
      <c r="F9" t="s">
        <v>10</v>
      </c>
    </row>
    <row r="10" spans="1:6" x14ac:dyDescent="0.25">
      <c r="A10">
        <v>27</v>
      </c>
      <c r="B10" s="1">
        <v>46060</v>
      </c>
      <c r="C10">
        <v>111</v>
      </c>
      <c r="D10" s="2">
        <v>100.90909090909091</v>
      </c>
      <c r="E10" t="s">
        <v>5</v>
      </c>
      <c r="F10" t="s">
        <v>10</v>
      </c>
    </row>
    <row r="11" spans="1:6" x14ac:dyDescent="0.25">
      <c r="A11">
        <v>27</v>
      </c>
      <c r="B11" s="1">
        <v>46074</v>
      </c>
      <c r="C11">
        <v>496</v>
      </c>
      <c r="D11" s="2">
        <v>450.90909090909088</v>
      </c>
      <c r="E11" t="s">
        <v>7</v>
      </c>
      <c r="F11" t="s">
        <v>10</v>
      </c>
    </row>
    <row r="12" spans="1:6" x14ac:dyDescent="0.25">
      <c r="A12">
        <v>27</v>
      </c>
      <c r="B12" s="1">
        <v>46144</v>
      </c>
      <c r="C12">
        <v>283</v>
      </c>
      <c r="D12" s="2">
        <v>257.27272727272725</v>
      </c>
      <c r="E12" t="s">
        <v>6</v>
      </c>
      <c r="F12" t="s">
        <v>11</v>
      </c>
    </row>
    <row r="13" spans="1:6" x14ac:dyDescent="0.25">
      <c r="A13">
        <v>27</v>
      </c>
      <c r="B13" s="1">
        <v>46135</v>
      </c>
      <c r="C13">
        <v>445</v>
      </c>
      <c r="D13" s="2">
        <v>404.5454545454545</v>
      </c>
      <c r="E13" t="s">
        <v>9</v>
      </c>
      <c r="F13" t="s">
        <v>16</v>
      </c>
    </row>
    <row r="14" spans="1:6" x14ac:dyDescent="0.25">
      <c r="A14">
        <v>27</v>
      </c>
      <c r="B14" s="1">
        <v>46062</v>
      </c>
      <c r="C14">
        <v>87</v>
      </c>
      <c r="D14" s="2">
        <v>79.090909090909079</v>
      </c>
      <c r="E14" t="s">
        <v>9</v>
      </c>
      <c r="F14" t="s">
        <v>11</v>
      </c>
    </row>
    <row r="15" spans="1:6" x14ac:dyDescent="0.25">
      <c r="A15">
        <v>27</v>
      </c>
      <c r="B15" s="1">
        <v>46140</v>
      </c>
      <c r="C15">
        <v>122</v>
      </c>
      <c r="D15" s="2">
        <v>110.90909090909091</v>
      </c>
      <c r="E15" t="s">
        <v>5</v>
      </c>
      <c r="F15" t="s">
        <v>11</v>
      </c>
    </row>
    <row r="16" spans="1:6" x14ac:dyDescent="0.25">
      <c r="A16">
        <v>26</v>
      </c>
      <c r="B16" s="1">
        <v>46169</v>
      </c>
      <c r="C16">
        <v>313</v>
      </c>
      <c r="D16" s="2">
        <v>284.5454545454545</v>
      </c>
      <c r="E16" t="s">
        <v>8</v>
      </c>
      <c r="F16" t="s">
        <v>10</v>
      </c>
    </row>
    <row r="17" spans="1:6" x14ac:dyDescent="0.25">
      <c r="A17">
        <v>26</v>
      </c>
      <c r="B17" s="1">
        <v>46161</v>
      </c>
      <c r="C17">
        <v>183</v>
      </c>
      <c r="D17" s="2">
        <v>166.36363636363635</v>
      </c>
      <c r="E17" t="s">
        <v>7</v>
      </c>
      <c r="F17" t="s">
        <v>10</v>
      </c>
    </row>
    <row r="18" spans="1:6" x14ac:dyDescent="0.25">
      <c r="A18">
        <v>26</v>
      </c>
      <c r="B18" s="1">
        <v>46088</v>
      </c>
      <c r="C18">
        <v>367</v>
      </c>
      <c r="D18" s="2">
        <v>333.63636363636363</v>
      </c>
      <c r="E18" t="s">
        <v>6</v>
      </c>
      <c r="F18" t="s">
        <v>10</v>
      </c>
    </row>
    <row r="19" spans="1:6" x14ac:dyDescent="0.25">
      <c r="A19">
        <v>26</v>
      </c>
      <c r="B19" s="1">
        <v>46103</v>
      </c>
      <c r="C19">
        <v>66</v>
      </c>
      <c r="D19" s="2">
        <v>59.999999999999993</v>
      </c>
      <c r="E19" t="s">
        <v>5</v>
      </c>
      <c r="F19" t="s">
        <v>11</v>
      </c>
    </row>
    <row r="20" spans="1:6" x14ac:dyDescent="0.25">
      <c r="A20">
        <v>25</v>
      </c>
      <c r="B20" s="1">
        <v>46095</v>
      </c>
      <c r="C20">
        <v>95</v>
      </c>
      <c r="D20" s="2">
        <f>+C20/1.1</f>
        <v>86.36363636363636</v>
      </c>
      <c r="E20" t="s">
        <v>4</v>
      </c>
      <c r="F20" t="s">
        <v>10</v>
      </c>
    </row>
    <row r="21" spans="1:6" x14ac:dyDescent="0.25">
      <c r="A21">
        <v>25</v>
      </c>
      <c r="B21" s="1">
        <v>46057</v>
      </c>
      <c r="C21">
        <v>225</v>
      </c>
      <c r="D21" s="2">
        <v>204.54545454545453</v>
      </c>
      <c r="E21" t="s">
        <v>4</v>
      </c>
      <c r="F21" t="s">
        <v>10</v>
      </c>
    </row>
    <row r="22" spans="1:6" x14ac:dyDescent="0.25">
      <c r="A22">
        <v>25</v>
      </c>
      <c r="B22" s="1">
        <v>46083</v>
      </c>
      <c r="C22">
        <v>273</v>
      </c>
      <c r="D22" s="2">
        <v>248.18181818181816</v>
      </c>
      <c r="E22" t="s">
        <v>5</v>
      </c>
      <c r="F22" t="s">
        <v>11</v>
      </c>
    </row>
    <row r="23" spans="1:6" x14ac:dyDescent="0.25">
      <c r="A23">
        <v>25</v>
      </c>
      <c r="B23" s="1">
        <v>46151</v>
      </c>
      <c r="C23">
        <v>246</v>
      </c>
      <c r="D23" s="2">
        <v>223.63636363636363</v>
      </c>
      <c r="E23" t="s">
        <v>7</v>
      </c>
      <c r="F23" t="s">
        <v>11</v>
      </c>
    </row>
    <row r="24" spans="1:6" x14ac:dyDescent="0.25">
      <c r="A24">
        <v>25</v>
      </c>
      <c r="B24" s="1">
        <v>46167</v>
      </c>
      <c r="C24">
        <v>405</v>
      </c>
      <c r="D24" s="2">
        <v>368.18181818181813</v>
      </c>
      <c r="E24" t="s">
        <v>4</v>
      </c>
      <c r="F24" t="s">
        <v>10</v>
      </c>
    </row>
    <row r="25" spans="1:6" x14ac:dyDescent="0.25">
      <c r="A25">
        <v>24</v>
      </c>
      <c r="B25" s="1">
        <v>46141</v>
      </c>
      <c r="C25">
        <v>298</v>
      </c>
      <c r="D25" s="2">
        <v>270.90909090909088</v>
      </c>
      <c r="E25" t="s">
        <v>9</v>
      </c>
      <c r="F25" t="s">
        <v>10</v>
      </c>
    </row>
    <row r="26" spans="1:6" x14ac:dyDescent="0.25">
      <c r="A26">
        <v>22</v>
      </c>
      <c r="B26" s="1">
        <v>46089</v>
      </c>
      <c r="C26">
        <v>308</v>
      </c>
      <c r="D26" s="2">
        <f>+C26/1.1</f>
        <v>280</v>
      </c>
      <c r="E26" t="s">
        <v>4</v>
      </c>
      <c r="F26" t="s">
        <v>11</v>
      </c>
    </row>
    <row r="27" spans="1:6" x14ac:dyDescent="0.25">
      <c r="A27">
        <v>21</v>
      </c>
      <c r="B27" s="1">
        <v>46077</v>
      </c>
      <c r="C27">
        <v>149</v>
      </c>
      <c r="D27" s="2">
        <v>135.45454545454544</v>
      </c>
      <c r="E27" t="s">
        <v>4</v>
      </c>
      <c r="F27" t="s">
        <v>10</v>
      </c>
    </row>
    <row r="28" spans="1:6" x14ac:dyDescent="0.25">
      <c r="A28">
        <v>19</v>
      </c>
      <c r="B28" s="1">
        <v>46077</v>
      </c>
      <c r="C28">
        <v>118</v>
      </c>
      <c r="D28" s="2">
        <f>+C28/1.1</f>
        <v>107.27272727272727</v>
      </c>
      <c r="E28" t="s">
        <v>5</v>
      </c>
      <c r="F28" t="s">
        <v>10</v>
      </c>
    </row>
    <row r="29" spans="1:6" x14ac:dyDescent="0.25">
      <c r="A29">
        <v>18</v>
      </c>
      <c r="B29" s="1">
        <v>46041</v>
      </c>
      <c r="C29">
        <v>108</v>
      </c>
      <c r="D29" s="2">
        <v>98.181818181818173</v>
      </c>
      <c r="E29" t="s">
        <v>5</v>
      </c>
      <c r="F29" t="s">
        <v>11</v>
      </c>
    </row>
    <row r="30" spans="1:6" x14ac:dyDescent="0.25">
      <c r="A30">
        <v>18</v>
      </c>
      <c r="B30" s="1">
        <v>46071</v>
      </c>
      <c r="C30">
        <v>92</v>
      </c>
      <c r="D30" s="2">
        <v>83.636363636363626</v>
      </c>
      <c r="E30" t="s">
        <v>4</v>
      </c>
      <c r="F30" t="s">
        <v>10</v>
      </c>
    </row>
    <row r="31" spans="1:6" x14ac:dyDescent="0.25">
      <c r="A31">
        <v>17</v>
      </c>
      <c r="B31" s="1">
        <v>46063</v>
      </c>
      <c r="C31">
        <v>279</v>
      </c>
      <c r="D31" s="2">
        <v>253.63636363636363</v>
      </c>
      <c r="E31" t="s">
        <v>4</v>
      </c>
      <c r="F31" t="s">
        <v>11</v>
      </c>
    </row>
    <row r="32" spans="1:6" x14ac:dyDescent="0.25">
      <c r="A32">
        <v>17</v>
      </c>
      <c r="B32" s="1">
        <v>46033</v>
      </c>
      <c r="C32">
        <v>483</v>
      </c>
      <c r="D32" s="2">
        <v>439.09090909090907</v>
      </c>
      <c r="E32" t="s">
        <v>5</v>
      </c>
      <c r="F32" t="s">
        <v>11</v>
      </c>
    </row>
    <row r="33" spans="1:6" x14ac:dyDescent="0.25">
      <c r="A33">
        <v>17</v>
      </c>
      <c r="B33" s="1">
        <v>46062</v>
      </c>
      <c r="C33">
        <v>260</v>
      </c>
      <c r="D33" s="2">
        <v>236.36363636363635</v>
      </c>
      <c r="E33" t="s">
        <v>5</v>
      </c>
      <c r="F33" t="s">
        <v>10</v>
      </c>
    </row>
    <row r="34" spans="1:6" x14ac:dyDescent="0.25">
      <c r="A34">
        <v>17</v>
      </c>
      <c r="B34" s="1">
        <v>46069</v>
      </c>
      <c r="C34">
        <v>455</v>
      </c>
      <c r="D34" s="2">
        <v>413.63636363636363</v>
      </c>
      <c r="E34" t="s">
        <v>4</v>
      </c>
      <c r="F34" t="s">
        <v>11</v>
      </c>
    </row>
    <row r="35" spans="1:6" x14ac:dyDescent="0.25">
      <c r="A35">
        <v>16</v>
      </c>
      <c r="B35" s="1">
        <v>46027</v>
      </c>
      <c r="C35">
        <v>96</v>
      </c>
      <c r="D35" s="2">
        <v>87.272727272727266</v>
      </c>
      <c r="E35" t="s">
        <v>8</v>
      </c>
      <c r="F35" t="s">
        <v>11</v>
      </c>
    </row>
    <row r="36" spans="1:6" x14ac:dyDescent="0.25">
      <c r="A36">
        <v>16</v>
      </c>
      <c r="B36" s="1">
        <v>46139</v>
      </c>
      <c r="C36">
        <v>203</v>
      </c>
      <c r="D36" s="2">
        <v>184.54545454545453</v>
      </c>
      <c r="E36" t="s">
        <v>8</v>
      </c>
      <c r="F36" t="s">
        <v>11</v>
      </c>
    </row>
    <row r="37" spans="1:6" x14ac:dyDescent="0.25">
      <c r="A37">
        <v>16</v>
      </c>
      <c r="B37" s="1">
        <v>46120</v>
      </c>
      <c r="C37">
        <v>68</v>
      </c>
      <c r="D37" s="2">
        <v>61.818181818181813</v>
      </c>
      <c r="E37" t="s">
        <v>6</v>
      </c>
      <c r="F37" t="s">
        <v>11</v>
      </c>
    </row>
    <row r="38" spans="1:6" x14ac:dyDescent="0.25">
      <c r="A38">
        <v>16</v>
      </c>
      <c r="B38" s="1">
        <v>46076</v>
      </c>
      <c r="C38">
        <v>216</v>
      </c>
      <c r="D38" s="2">
        <v>196.36363636363635</v>
      </c>
      <c r="E38" t="s">
        <v>8</v>
      </c>
      <c r="F38" t="s">
        <v>11</v>
      </c>
    </row>
    <row r="39" spans="1:6" x14ac:dyDescent="0.25">
      <c r="A39">
        <v>15</v>
      </c>
      <c r="B39" s="1">
        <v>46154</v>
      </c>
      <c r="C39">
        <v>55</v>
      </c>
      <c r="D39" s="2">
        <f>+C39/1.1</f>
        <v>49.999999999999993</v>
      </c>
      <c r="E39" t="s">
        <v>6</v>
      </c>
      <c r="F39" t="s">
        <v>11</v>
      </c>
    </row>
    <row r="40" spans="1:6" x14ac:dyDescent="0.25">
      <c r="A40">
        <v>15</v>
      </c>
      <c r="B40" s="1">
        <v>46133</v>
      </c>
      <c r="C40">
        <v>251</v>
      </c>
      <c r="D40" s="2">
        <v>228.18181818181816</v>
      </c>
      <c r="E40" t="s">
        <v>8</v>
      </c>
      <c r="F40" t="s">
        <v>10</v>
      </c>
    </row>
    <row r="41" spans="1:6" x14ac:dyDescent="0.25">
      <c r="A41">
        <v>15</v>
      </c>
      <c r="B41" s="1">
        <v>46152</v>
      </c>
      <c r="C41">
        <v>279</v>
      </c>
      <c r="D41" s="2">
        <v>253.63636363636363</v>
      </c>
      <c r="E41" t="s">
        <v>5</v>
      </c>
      <c r="F41" t="s">
        <v>10</v>
      </c>
    </row>
    <row r="42" spans="1:6" x14ac:dyDescent="0.25">
      <c r="A42">
        <v>15</v>
      </c>
      <c r="B42" s="1">
        <v>46091</v>
      </c>
      <c r="C42">
        <v>230</v>
      </c>
      <c r="D42" s="2">
        <v>209.09090909090907</v>
      </c>
      <c r="E42" t="s">
        <v>5</v>
      </c>
      <c r="F42" t="s">
        <v>11</v>
      </c>
    </row>
    <row r="43" spans="1:6" x14ac:dyDescent="0.25">
      <c r="A43">
        <v>15</v>
      </c>
      <c r="B43" s="1">
        <v>46039</v>
      </c>
      <c r="C43">
        <v>435</v>
      </c>
      <c r="D43" s="2">
        <v>395.45454545454544</v>
      </c>
      <c r="E43" t="s">
        <v>8</v>
      </c>
      <c r="F43" t="s">
        <v>11</v>
      </c>
    </row>
    <row r="44" spans="1:6" x14ac:dyDescent="0.25">
      <c r="A44">
        <v>15</v>
      </c>
      <c r="B44" s="1">
        <v>46027</v>
      </c>
      <c r="C44">
        <v>339</v>
      </c>
      <c r="D44" s="2">
        <v>308.18181818181813</v>
      </c>
      <c r="E44" t="s">
        <v>7</v>
      </c>
      <c r="F44" t="s">
        <v>10</v>
      </c>
    </row>
    <row r="45" spans="1:6" x14ac:dyDescent="0.25">
      <c r="A45">
        <v>15</v>
      </c>
      <c r="B45" s="1">
        <v>46161</v>
      </c>
      <c r="C45">
        <v>168</v>
      </c>
      <c r="D45" s="2">
        <v>152.72727272727272</v>
      </c>
      <c r="E45" t="s">
        <v>7</v>
      </c>
      <c r="F45" t="s">
        <v>10</v>
      </c>
    </row>
    <row r="46" spans="1:6" x14ac:dyDescent="0.25">
      <c r="A46">
        <v>15</v>
      </c>
      <c r="B46" s="1">
        <v>46197</v>
      </c>
      <c r="C46">
        <v>63</v>
      </c>
      <c r="D46" s="2">
        <v>57.272727272727266</v>
      </c>
      <c r="E46" t="s">
        <v>9</v>
      </c>
      <c r="F46" t="s">
        <v>10</v>
      </c>
    </row>
    <row r="47" spans="1:6" x14ac:dyDescent="0.25">
      <c r="A47">
        <v>14</v>
      </c>
      <c r="B47" s="1">
        <v>46154</v>
      </c>
      <c r="C47">
        <v>399</v>
      </c>
      <c r="D47" s="2">
        <v>362.72727272727269</v>
      </c>
      <c r="E47" t="s">
        <v>5</v>
      </c>
      <c r="F47" t="s">
        <v>11</v>
      </c>
    </row>
    <row r="48" spans="1:6" x14ac:dyDescent="0.25">
      <c r="A48">
        <v>13</v>
      </c>
      <c r="B48" s="1">
        <v>46166</v>
      </c>
      <c r="C48">
        <v>351</v>
      </c>
      <c r="D48" s="2">
        <v>319.09090909090907</v>
      </c>
      <c r="E48" t="s">
        <v>5</v>
      </c>
      <c r="F48" t="s">
        <v>11</v>
      </c>
    </row>
    <row r="49" spans="1:6" x14ac:dyDescent="0.25">
      <c r="A49">
        <v>12</v>
      </c>
      <c r="B49" s="1">
        <v>46051</v>
      </c>
      <c r="C49">
        <v>335</v>
      </c>
      <c r="D49" s="2">
        <f>+C49/1.1</f>
        <v>304.5454545454545</v>
      </c>
      <c r="E49" t="s">
        <v>5</v>
      </c>
      <c r="F49" t="s">
        <v>10</v>
      </c>
    </row>
    <row r="50" spans="1:6" x14ac:dyDescent="0.25">
      <c r="A50">
        <v>12</v>
      </c>
      <c r="B50" s="1">
        <v>46198</v>
      </c>
      <c r="C50">
        <v>367</v>
      </c>
      <c r="D50" s="2">
        <v>333.63636363636363</v>
      </c>
      <c r="E50" t="s">
        <v>7</v>
      </c>
      <c r="F50" t="s">
        <v>11</v>
      </c>
    </row>
    <row r="51" spans="1:6" x14ac:dyDescent="0.25">
      <c r="A51">
        <v>12</v>
      </c>
      <c r="B51" s="1">
        <v>46048</v>
      </c>
      <c r="C51">
        <v>105</v>
      </c>
      <c r="D51" s="2">
        <v>95.454545454545453</v>
      </c>
      <c r="E51" t="s">
        <v>9</v>
      </c>
      <c r="F51" t="s">
        <v>10</v>
      </c>
    </row>
    <row r="52" spans="1:6" x14ac:dyDescent="0.25">
      <c r="A52">
        <v>12</v>
      </c>
      <c r="B52" s="1">
        <v>46173</v>
      </c>
      <c r="C52">
        <v>344</v>
      </c>
      <c r="D52" s="2">
        <v>312.72727272727269</v>
      </c>
      <c r="E52" t="s">
        <v>4</v>
      </c>
      <c r="F52" t="s">
        <v>11</v>
      </c>
    </row>
    <row r="53" spans="1:6" x14ac:dyDescent="0.25">
      <c r="A53">
        <v>12</v>
      </c>
      <c r="B53" s="1">
        <v>46148</v>
      </c>
      <c r="C53">
        <v>98</v>
      </c>
      <c r="D53" s="2">
        <v>89.090909090909079</v>
      </c>
      <c r="E53" t="s">
        <v>9</v>
      </c>
      <c r="F53" t="s">
        <v>11</v>
      </c>
    </row>
    <row r="54" spans="1:6" x14ac:dyDescent="0.25">
      <c r="A54">
        <v>11</v>
      </c>
      <c r="B54" s="1">
        <v>46086</v>
      </c>
      <c r="C54">
        <v>122</v>
      </c>
      <c r="D54" s="2">
        <v>110.90909090909091</v>
      </c>
      <c r="E54" t="s">
        <v>7</v>
      </c>
      <c r="F54" t="s">
        <v>11</v>
      </c>
    </row>
    <row r="55" spans="1:6" x14ac:dyDescent="0.25">
      <c r="A55">
        <v>11</v>
      </c>
      <c r="B55" s="1">
        <v>46046</v>
      </c>
      <c r="C55">
        <v>186</v>
      </c>
      <c r="D55" s="2">
        <v>169.09090909090907</v>
      </c>
      <c r="E55" t="s">
        <v>9</v>
      </c>
      <c r="F55" t="s">
        <v>10</v>
      </c>
    </row>
    <row r="56" spans="1:6" x14ac:dyDescent="0.25">
      <c r="A56">
        <v>11</v>
      </c>
      <c r="B56" s="1">
        <v>46074</v>
      </c>
      <c r="C56">
        <v>223</v>
      </c>
      <c r="D56" s="2">
        <v>202.72727272727272</v>
      </c>
      <c r="E56" t="s">
        <v>6</v>
      </c>
      <c r="F56" t="s">
        <v>11</v>
      </c>
    </row>
    <row r="57" spans="1:6" x14ac:dyDescent="0.25">
      <c r="A57">
        <v>10</v>
      </c>
      <c r="B57" s="1">
        <v>46103</v>
      </c>
      <c r="C57">
        <v>167</v>
      </c>
      <c r="D57" s="2">
        <v>151.81818181818181</v>
      </c>
      <c r="E57" t="s">
        <v>8</v>
      </c>
      <c r="F57" t="s">
        <v>10</v>
      </c>
    </row>
    <row r="58" spans="1:6" x14ac:dyDescent="0.25">
      <c r="A58">
        <v>10</v>
      </c>
      <c r="B58" s="1">
        <v>46160</v>
      </c>
      <c r="C58">
        <v>90</v>
      </c>
      <c r="D58" s="2">
        <v>81.818181818181813</v>
      </c>
      <c r="E58" t="s">
        <v>7</v>
      </c>
      <c r="F58" t="s">
        <v>10</v>
      </c>
    </row>
    <row r="59" spans="1:6" x14ac:dyDescent="0.25">
      <c r="A59">
        <v>10</v>
      </c>
      <c r="B59" s="1">
        <v>46072</v>
      </c>
      <c r="C59">
        <v>463</v>
      </c>
      <c r="D59" s="2">
        <v>420.90909090909088</v>
      </c>
      <c r="E59" t="s">
        <v>7</v>
      </c>
      <c r="F59" t="s">
        <v>10</v>
      </c>
    </row>
    <row r="60" spans="1:6" x14ac:dyDescent="0.25">
      <c r="A60">
        <v>10</v>
      </c>
      <c r="B60" s="1">
        <v>46127</v>
      </c>
      <c r="C60">
        <v>117</v>
      </c>
      <c r="D60" s="2">
        <v>106.36363636363636</v>
      </c>
      <c r="E60" t="s">
        <v>5</v>
      </c>
      <c r="F60" t="s">
        <v>11</v>
      </c>
    </row>
    <row r="61" spans="1:6" x14ac:dyDescent="0.25">
      <c r="C61" s="3"/>
      <c r="D61" s="3"/>
    </row>
    <row r="62" spans="1:6" x14ac:dyDescent="0.25">
      <c r="C62" s="4"/>
      <c r="D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2026-05-19T18:08:11Z</dcterms:created>
  <dcterms:modified xsi:type="dcterms:W3CDTF">2026-10-18T16:42:36Z</dcterms:modified>
</cp:coreProperties>
</file>